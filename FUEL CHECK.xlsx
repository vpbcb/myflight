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029"/>
  <workbookPr defaultThemeVersion="166925"/>
  <bookViews>
    <workbookView xWindow="4560" yWindow="4560" windowWidth="28800" windowHeight="15370" activeTab="0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<sst xmlns="http://schemas.openxmlformats.org/spreadsheetml/2006/main" uniqueCount="26" count="26">
  <si>
    <t>PAYLOAD</t>
  </si>
  <si>
    <t>DOW</t>
  </si>
  <si>
    <t>TRIP FUEL</t>
  </si>
  <si>
    <t>RTOW</t>
  </si>
  <si>
    <t>MLDW</t>
  </si>
  <si>
    <t>ALTN</t>
  </si>
  <si>
    <t>FINAL RESERVE</t>
  </si>
  <si>
    <t>EXTRA</t>
  </si>
  <si>
    <t>APU/TAXI</t>
  </si>
  <si>
    <t>TANKER</t>
  </si>
  <si>
    <t>TOTAL FOB</t>
  </si>
  <si>
    <t>ETOW</t>
  </si>
  <si>
    <t>ELDW</t>
  </si>
  <si>
    <t>REMF</t>
  </si>
  <si>
    <t>MIN DIV</t>
  </si>
  <si>
    <t>CONT%</t>
  </si>
  <si>
    <t>EZFW</t>
  </si>
  <si>
    <t>МАХ FUEL</t>
  </si>
  <si>
    <t>REQ FOB</t>
  </si>
  <si>
    <t>%</t>
  </si>
  <si>
    <t>MAX FUEL (-запас)</t>
  </si>
  <si>
    <t>!320/321/CEO/NEO</t>
  </si>
  <si>
    <t>FLEET WEIGHTS</t>
  </si>
  <si>
    <t>Кабинет с EFB</t>
  </si>
  <si>
    <t>EFB, SFP и прочие доступные ресурсы</t>
  </si>
  <si>
    <t>кг, запас по MLDW</t>
  </si>
</sst>
</file>

<file path=xl/styles.xml><?xml version="1.0" encoding="utf-8"?>
<styleSheet xmlns="http://schemas.openxmlformats.org/spreadsheetml/2006/main">
  <numFmts count="3">
    <numFmt numFmtId="0" formatCode="General"/>
    <numFmt numFmtId="165" formatCode="_-* #,##0_-;\-* #,##0_-;_-* &quot;-&quot;??_-;_-@_-"/>
    <numFmt numFmtId="164" formatCode="_-* #,##0.00_-;\-* #,##0.00_-;_-* &quot;-&quot;??_-;_-@_-"/>
  </numFmts>
  <fonts count="4">
    <font>
      <name val="Calibri"/>
      <sz val="11"/>
    </font>
    <font>
      <name val="Calibri"/>
      <charset val="204"/>
      <sz val="11"/>
      <color rgb="FF000000"/>
    </font>
    <font>
      <name val="Calibri"/>
      <b/>
      <charset val="204"/>
      <sz val="11"/>
      <color rgb="FF000000"/>
    </font>
    <font>
      <name val="Calibri"/>
      <charset val="204"/>
      <sz val="1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9DC3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3" fillId="0" borderId="0">
      <alignment vertical="top"/>
      <protection locked="0" hidden="0"/>
    </xf>
  </cellStyleXfs>
  <cellXfs count="49">
    <xf numFmtId="0" fontId="0" fillId="0" borderId="0" xfId="0">
      <alignment vertical="center"/>
    </xf>
    <xf numFmtId="165" fontId="1" fillId="0" borderId="0" xfId="1" applyNumberFormat="1" applyFont="1" applyAlignment="1">
      <alignment vertical="bottom"/>
    </xf>
    <xf numFmtId="165" fontId="1" fillId="0" borderId="0" xfId="1" applyNumberFormat="1" applyFont="1" applyFill="1" applyAlignment="1">
      <alignment vertical="bottom"/>
    </xf>
    <xf numFmtId="0" fontId="1" fillId="2" borderId="1" xfId="0" applyFill="1" applyBorder="1" applyAlignment="1">
      <alignment vertical="bottom"/>
    </xf>
    <xf numFmtId="165" fontId="1" fillId="2" borderId="2" xfId="1" applyNumberFormat="1" applyFont="1" applyFill="1" applyBorder="1" applyAlignment="1">
      <alignment vertical="bottom"/>
      <protection locked="0" hidden="0"/>
    </xf>
    <xf numFmtId="165" fontId="1" fillId="0" borderId="0" xfId="1" applyNumberFormat="1" applyFont="1" applyFill="1" applyBorder="1" applyAlignment="1">
      <alignment vertical="bottom"/>
    </xf>
    <xf numFmtId="0" fontId="1" fillId="2" borderId="3" xfId="0" applyFill="1" applyBorder="1" applyAlignment="1">
      <alignment vertical="bottom"/>
    </xf>
    <xf numFmtId="165" fontId="1" fillId="2" borderId="4" xfId="1" applyNumberFormat="1" applyFont="1" applyFill="1" applyBorder="1" applyAlignment="1">
      <alignment vertical="bottom"/>
      <protection locked="0" hidden="0"/>
    </xf>
    <xf numFmtId="0" fontId="1" fillId="0" borderId="0" xfId="0" applyAlignment="1">
      <alignment horizontal="left" vertical="bottom"/>
    </xf>
    <xf numFmtId="0" fontId="2" fillId="3" borderId="5" xfId="0" applyFont="1" applyFill="1" applyBorder="1" applyAlignment="1">
      <alignment vertical="bottom"/>
    </xf>
    <xf numFmtId="165" fontId="2" fillId="3" borderId="6" xfId="1" applyNumberFormat="1" applyFont="1" applyFill="1" applyBorder="1" applyAlignment="1">
      <alignment vertical="bottom"/>
    </xf>
    <xf numFmtId="165" fontId="2" fillId="0" borderId="0" xfId="1" applyNumberFormat="1" applyFont="1" applyFill="1" applyBorder="1" applyAlignment="1">
      <alignment vertical="bottom"/>
    </xf>
    <xf numFmtId="0" fontId="1" fillId="2" borderId="7" xfId="0" applyFill="1" applyBorder="1" applyAlignment="1">
      <alignment vertical="bottom"/>
    </xf>
    <xf numFmtId="165" fontId="1" fillId="2" borderId="8" xfId="1" applyNumberFormat="1" applyFont="1" applyFill="1" applyBorder="1" applyAlignment="1">
      <alignment vertical="bottom"/>
      <protection locked="0" hidden="0"/>
    </xf>
    <xf numFmtId="0" fontId="1" fillId="0" borderId="9" xfId="0" applyBorder="1" applyAlignment="1">
      <alignment vertical="bottom"/>
    </xf>
    <xf numFmtId="0" fontId="1" fillId="0" borderId="0" xfId="0" applyAlignment="1">
      <alignment vertical="bottom"/>
    </xf>
    <xf numFmtId="0" fontId="2" fillId="4" borderId="10" xfId="0" applyFont="1" applyFill="1" applyBorder="1" applyAlignment="1">
      <alignment vertical="bottom"/>
    </xf>
    <xf numFmtId="165" fontId="2" fillId="2" borderId="11" xfId="1" applyNumberFormat="1" applyFont="1" applyFill="1" applyBorder="1" applyAlignment="1">
      <alignment vertical="bottom"/>
      <protection locked="0" hidden="0"/>
    </xf>
    <xf numFmtId="0" fontId="1" fillId="5" borderId="9" xfId="0" applyFill="1" applyBorder="1" applyAlignment="1">
      <alignment horizontal="left" vertical="bottom"/>
    </xf>
    <xf numFmtId="0" fontId="1" fillId="5" borderId="0" xfId="0" applyFill="1" applyBorder="1" applyAlignment="1">
      <alignment horizontal="left" vertical="bottom"/>
    </xf>
    <xf numFmtId="0" fontId="2" fillId="3" borderId="3" xfId="0" applyFont="1" applyFill="1" applyBorder="1" applyAlignment="1">
      <alignment vertical="bottom"/>
    </xf>
    <xf numFmtId="165" fontId="2" fillId="3" borderId="4" xfId="1" applyNumberFormat="1" applyFont="1" applyFill="1" applyBorder="1" applyAlignment="1">
      <alignment vertical="bottom"/>
    </xf>
    <xf numFmtId="0" fontId="2" fillId="6" borderId="12" xfId="0" applyFont="1" applyFill="1" applyBorder="1" applyAlignment="1">
      <alignment vertical="bottom"/>
    </xf>
    <xf numFmtId="165" fontId="2" fillId="6" borderId="13" xfId="1" applyNumberFormat="1" applyFont="1" applyFill="1" applyBorder="1" applyAlignment="1">
      <alignment vertical="bottom"/>
    </xf>
    <xf numFmtId="165" fontId="2" fillId="0" borderId="14" xfId="1" applyNumberFormat="1" applyFont="1" applyFill="1" applyBorder="1" applyAlignment="1">
      <alignment vertical="bottom"/>
    </xf>
    <xf numFmtId="0" fontId="2" fillId="6" borderId="15" xfId="0" applyFont="1" applyFill="1" applyBorder="1" applyAlignment="1">
      <alignment vertical="bottom"/>
    </xf>
    <xf numFmtId="165" fontId="2" fillId="6" borderId="16" xfId="1" applyNumberFormat="1" applyFont="1" applyFill="1" applyBorder="1" applyAlignment="1">
      <alignment vertical="bottom"/>
    </xf>
    <xf numFmtId="165" fontId="2" fillId="0" borderId="17" xfId="1" applyNumberFormat="1" applyFont="1" applyFill="1" applyBorder="1" applyAlignment="1">
      <alignment vertical="bottom"/>
    </xf>
    <xf numFmtId="165" fontId="1" fillId="2" borderId="18" xfId="1" applyNumberFormat="1" applyFont="1" applyFill="1" applyBorder="1" applyAlignment="1">
      <alignment horizontal="center" vertical="center"/>
      <protection locked="0" hidden="0"/>
    </xf>
    <xf numFmtId="0" fontId="1" fillId="0" borderId="19" xfId="0" applyBorder="1" applyAlignment="1">
      <alignment horizontal="left" vertical="bottom"/>
    </xf>
    <xf numFmtId="165" fontId="1" fillId="0" borderId="20" xfId="1" applyNumberFormat="1" applyFont="1" applyFill="1" applyBorder="1" applyAlignment="1">
      <alignment vertical="bottom"/>
    </xf>
    <xf numFmtId="0" fontId="1" fillId="0" borderId="0" xfId="0" applyAlignment="1">
      <alignment horizontal="center" vertical="center"/>
    </xf>
    <xf numFmtId="0" fontId="2" fillId="3" borderId="1" xfId="0" applyFont="1" applyFill="1" applyBorder="1" applyAlignment="1">
      <alignment vertical="bottom"/>
    </xf>
    <xf numFmtId="165" fontId="2" fillId="3" borderId="21" xfId="1" applyNumberFormat="1" applyFont="1" applyFill="1" applyBorder="1" applyAlignment="1">
      <alignment vertical="bottom"/>
    </xf>
    <xf numFmtId="165" fontId="2" fillId="0" borderId="22" xfId="1" applyNumberFormat="1" applyFont="1" applyFill="1" applyBorder="1" applyAlignment="1">
      <alignment vertical="bottom"/>
    </xf>
    <xf numFmtId="0" fontId="1" fillId="2" borderId="16" xfId="0" applyFill="1" applyBorder="1" applyAlignment="1">
      <alignment horizontal="center" vertical="center"/>
      <protection locked="0" hidden="0"/>
    </xf>
    <xf numFmtId="0" fontId="1" fillId="2" borderId="10" xfId="0" applyFill="1" applyBorder="1" applyAlignment="1">
      <alignment vertical="bottom"/>
    </xf>
    <xf numFmtId="165" fontId="1" fillId="2" borderId="11" xfId="1" applyNumberFormat="1" applyFont="1" applyFill="1" applyBorder="1" applyAlignment="1">
      <alignment vertical="bottom"/>
      <protection locked="0" hidden="0"/>
    </xf>
    <xf numFmtId="0" fontId="2" fillId="0" borderId="0" xfId="0" applyFont="1" applyAlignment="1">
      <alignment vertical="bottom"/>
    </xf>
    <xf numFmtId="0" fontId="2" fillId="5" borderId="9" xfId="0" applyFont="1" applyFill="1" applyBorder="1" applyAlignment="1">
      <alignment vertical="bottom"/>
    </xf>
    <xf numFmtId="0" fontId="2" fillId="5" borderId="0" xfId="0" applyFont="1" applyFill="1" applyBorder="1" applyAlignment="1">
      <alignment vertical="bottom"/>
    </xf>
    <xf numFmtId="165" fontId="2" fillId="0" borderId="0" xfId="0" applyNumberFormat="1" applyFont="1" applyAlignment="1">
      <alignment vertical="bottom"/>
    </xf>
    <xf numFmtId="165" fontId="2" fillId="3" borderId="2" xfId="1" applyNumberFormat="1" applyFont="1" applyFill="1" applyBorder="1" applyAlignment="1">
      <alignment vertical="bottom"/>
    </xf>
    <xf numFmtId="0" fontId="2" fillId="3" borderId="10" xfId="0" applyFont="1" applyFill="1" applyBorder="1" applyAlignment="1">
      <alignment vertical="bottom"/>
    </xf>
    <xf numFmtId="165" fontId="2" fillId="3" borderId="11" xfId="1" applyNumberFormat="1" applyFont="1" applyFill="1" applyBorder="1" applyAlignment="1">
      <alignment vertical="bottom"/>
    </xf>
    <xf numFmtId="0" fontId="2" fillId="0" borderId="0" xfId="0" applyFont="1" applyAlignment="1">
      <alignment horizontal="left" vertical="bottom"/>
    </xf>
    <xf numFmtId="165" fontId="1" fillId="0" borderId="0" xfId="0" applyNumberFormat="1" applyAlignment="1">
      <alignment vertical="bottom"/>
    </xf>
    <xf numFmtId="0" fontId="2" fillId="3" borderId="23" xfId="0" applyFont="1" applyFill="1" applyBorder="1" applyAlignment="1">
      <alignment vertical="bottom"/>
    </xf>
    <xf numFmtId="165" fontId="2" fillId="3" borderId="24" xfId="1" applyNumberFormat="1" applyFont="1" applyFill="1" applyBorder="1" applyAlignment="1">
      <alignment vertical="bottom"/>
    </xf>
  </cellXfs>
  <cellStyles count="2">
    <cellStyle name="常规" xfId="0" builtinId="0"/>
    <cellStyle name="千位分隔" xfId="1" builtinId="3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22"/>
  <sheetViews>
    <sheetView tabSelected="1" workbookViewId="0">
      <selection activeCell="B16" sqref="B16"/>
    </sheetView>
  </sheetViews>
  <sheetFormatPr defaultRowHeight="15.0" defaultColWidth="10"/>
  <cols>
    <col min="1" max="1" customWidth="1" width="16.410156" style="0"/>
    <col min="2" max="2" customWidth="1" width="7.9335938" style="1"/>
    <col min="3" max="3" customWidth="1" width="0.94140625" style="2"/>
    <col min="4" max="4" customWidth="1" width="8.0703125" style="0"/>
    <col min="5" max="5" customWidth="1" width="4.7070312" style="0"/>
    <col min="6" max="6" customWidth="1" width="16.410156" style="0"/>
    <col min="7" max="7" customWidth="1" width="19.773438" style="0"/>
    <col min="8" max="8" hidden="1" customWidth="1" width="12.238281" style="0"/>
  </cols>
  <sheetData>
    <row r="1" spans="8:8" ht="15.4">
      <c r="A1" s="3" t="s">
        <v>1</v>
      </c>
      <c r="B1" s="4">
        <v>44288.0</v>
      </c>
      <c r="C1" s="5"/>
      <c r="D1" t="s">
        <v>22</v>
      </c>
    </row>
    <row r="2" spans="8:8" ht="15.4">
      <c r="A2" s="6" t="s">
        <v>0</v>
      </c>
      <c r="B2" s="7">
        <v>13000.0</v>
      </c>
      <c r="C2" s="5"/>
      <c r="D2" s="8" t="s">
        <v>23</v>
      </c>
      <c r="E2" s="8"/>
      <c r="F2" s="8"/>
      <c r="G2" s="8"/>
    </row>
    <row r="3" spans="8:8" ht="15.75">
      <c r="A3" s="9" t="s">
        <v>16</v>
      </c>
      <c r="B3" s="10">
        <f>B1+B2</f>
        <v>57288.0</v>
      </c>
      <c r="C3" s="11"/>
    </row>
    <row r="4" spans="8:8" ht="15.4">
      <c r="A4" s="12" t="s">
        <v>2</v>
      </c>
      <c r="B4" s="13">
        <v>12300.0</v>
      </c>
      <c r="C4" s="5"/>
      <c r="D4" s="14" t="s">
        <v>24</v>
      </c>
      <c r="E4" s="15"/>
      <c r="F4" s="15"/>
    </row>
    <row r="5" spans="8:8">
      <c r="A5" s="16" t="s">
        <v>4</v>
      </c>
      <c r="B5" s="17">
        <v>66000.0</v>
      </c>
      <c r="C5" s="11"/>
      <c r="D5" s="18" t="s">
        <v>21</v>
      </c>
      <c r="E5" s="19"/>
      <c r="F5" s="19"/>
    </row>
    <row r="6" spans="8:8" ht="15.75">
      <c r="A6" s="20" t="s">
        <v>3</v>
      </c>
      <c r="B6" s="21">
        <f>B5+B4</f>
        <v>78300.0</v>
      </c>
      <c r="C6" s="11"/>
    </row>
    <row r="7" spans="8:8" ht="15.75">
      <c r="A7" s="22" t="s">
        <v>17</v>
      </c>
      <c r="B7" s="23">
        <f>B6-B3+B14</f>
        <v>21262.0</v>
      </c>
      <c r="C7" s="24"/>
    </row>
    <row r="8" spans="8:8" ht="15.75">
      <c r="A8" s="25" t="s">
        <v>20</v>
      </c>
      <c r="B8" s="26">
        <f>B7-D8</f>
        <v>20262.0</v>
      </c>
      <c r="C8" s="27"/>
      <c r="D8" s="28">
        <v>1000.0</v>
      </c>
      <c r="E8" s="29" t="s">
        <v>25</v>
      </c>
      <c r="F8" s="8"/>
      <c r="G8" s="8"/>
    </row>
    <row r="9" spans="8:8" ht="15.75">
      <c r="C9" s="30"/>
      <c r="D9" s="31"/>
    </row>
    <row r="10" spans="8:8" ht="15.75">
      <c r="A10" s="32" t="s">
        <v>15</v>
      </c>
      <c r="B10" s="33">
        <f>B4*D10/100</f>
        <v>615.0</v>
      </c>
      <c r="C10" s="34"/>
      <c r="D10" s="35">
        <v>5.0</v>
      </c>
      <c r="E10" t="s">
        <v>19</v>
      </c>
    </row>
    <row r="11" spans="8:8" ht="15.4">
      <c r="A11" s="36" t="s">
        <v>5</v>
      </c>
      <c r="B11" s="37">
        <v>2400.0</v>
      </c>
      <c r="C11" s="5"/>
    </row>
    <row r="12" spans="8:8" ht="15.4">
      <c r="A12" s="36" t="s">
        <v>6</v>
      </c>
      <c r="B12" s="37">
        <v>1200.0</v>
      </c>
      <c r="C12" s="5"/>
    </row>
    <row r="13" spans="8:8" ht="15.4">
      <c r="A13" s="36" t="s">
        <v>7</v>
      </c>
      <c r="B13" s="37">
        <v>0.0</v>
      </c>
      <c r="C13" s="5"/>
    </row>
    <row r="14" spans="8:8" ht="15.4">
      <c r="A14" s="36" t="s">
        <v>8</v>
      </c>
      <c r="B14" s="37">
        <v>250.0</v>
      </c>
      <c r="C14" s="5"/>
    </row>
    <row r="15" spans="8:8" ht="15.75">
      <c r="A15" s="9" t="s">
        <v>18</v>
      </c>
      <c r="B15" s="10">
        <f>ROUNDUP(SUM(B10:B14)+B4,-2)</f>
        <v>16800.0</v>
      </c>
      <c r="C15" s="11"/>
    </row>
    <row r="16" spans="8:8" ht="15.4">
      <c r="A16" s="6" t="s">
        <v>9</v>
      </c>
      <c r="B16" s="7">
        <v>1200.0</v>
      </c>
      <c r="C16" s="5"/>
    </row>
    <row r="17" spans="8:8" s="38" ht="15.75" customFormat="1">
      <c r="A17" s="9" t="s">
        <v>10</v>
      </c>
      <c r="B17" s="10">
        <f>ROUNDUP(B15+B16,-2)</f>
        <v>18000.0</v>
      </c>
      <c r="C17" s="11"/>
      <c r="D17" s="39" t="str">
        <f>IF(B17&gt;B7,"ПРОВЕРЬ! ЗАПРАВКА БОЛЬШЕ МАКСИМАЛЬНОЙ!",IF((B7-B17)&lt;=$D$8,"ЗАПРАВКА: ЗАПАС ПО LDW МЕНЕЕ "&amp;TEXT($D$8,"#")&amp;" кг","CHECKED"))</f>
        <v>CHECKED</v>
      </c>
      <c r="E17" s="40"/>
      <c r="F17" s="40"/>
      <c r="G17" s="40"/>
      <c r="H17" s="41">
        <f>B5-B20</f>
        <v>3262.0</v>
      </c>
    </row>
    <row r="18" spans="8:8" ht="15.75"/>
    <row r="19" spans="8:8">
      <c r="A19" s="32" t="s">
        <v>11</v>
      </c>
      <c r="B19" s="42">
        <f>B3+B17-B14</f>
        <v>75038.0</v>
      </c>
      <c r="C19" s="11"/>
    </row>
    <row r="20" spans="8:8">
      <c r="A20" s="43" t="s">
        <v>12</v>
      </c>
      <c r="B20" s="44">
        <f>B19-B4</f>
        <v>62738.0</v>
      </c>
      <c r="C20" s="11"/>
      <c r="D20" s="45" t="str">
        <f>IF(B5&lt;B20,"ПРЕВЫШЕНИЕ ПОСАДОЧНОЙ МАССЫ!",IF(B5-B20&lt;D8,"ЗАПАС ПО LDW МЕНЕЕ "&amp;TEXT(D8,"#")&amp;" кг","CHECKED"))</f>
        <v>CHECKED</v>
      </c>
      <c r="E20" s="45"/>
      <c r="F20" s="45"/>
      <c r="G20" s="45"/>
      <c r="H20" s="46">
        <f>B5-B20</f>
        <v>3262.0</v>
      </c>
    </row>
    <row r="21" spans="8:8">
      <c r="A21" s="43" t="s">
        <v>13</v>
      </c>
      <c r="B21" s="44">
        <f>B17-B14-B4</f>
        <v>5450.0</v>
      </c>
      <c r="C21" s="11"/>
    </row>
    <row r="22" spans="8:8" ht="15.75">
      <c r="A22" s="47" t="s">
        <v>14</v>
      </c>
      <c r="B22" s="48">
        <f>B11+B12</f>
        <v>3600.0</v>
      </c>
      <c r="C22" s="11"/>
    </row>
  </sheetData>
  <sheetProtection algorithmName="SHA-512" hashValue="5q3uE5aKeKpk9XufI8ooWEQyZUgqOtMDe4BF4CcJN00fiq7mAWU5lXDtThOvCb19PzR9uMLJwZw5yW+KTJE0nw==" saltValue="L8qEUIAq+pJDqIBzz+d03g==" spinCount="100000" sheet="1" objects="1" scenarios="1" selectLockedCells="1"/>
  <mergeCells count="5">
    <mergeCell ref="D17:G17"/>
    <mergeCell ref="D20:G20"/>
    <mergeCell ref="D5:F5"/>
    <mergeCell ref="D2:G2"/>
    <mergeCell ref="E8:G8"/>
  </mergeCells>
  <conditionalFormatting sqref="D20:G20 B20">
    <cfRule type="expression" priority="3" dxfId="0">
      <formula>$B$20&gt;$B$5</formula>
    </cfRule>
    <cfRule type="expression" priority="4" dxfId="1">
      <formula>$H$20&lt;$D$8</formula>
    </cfRule>
  </conditionalFormatting>
  <conditionalFormatting sqref="B17 D17:G17">
    <cfRule type="expression" priority="1" dxfId="2">
      <formula>$H$17&gt;=$D$8</formula>
    </cfRule>
    <cfRule type="expression" priority="9" dxfId="3">
      <formula>$H$17&lt;0</formula>
    </cfRule>
    <cfRule type="expression" priority="10" dxfId="4">
      <formula>$H$17&lt;$D$8</formula>
    </cfRule>
    <cfRule type="expression" priority="12" dxfId="5">
      <formula>$H$17&gt;=0</formula>
    </cfRule>
  </conditionalFormatting>
  <conditionalFormatting sqref="D17:G17">
    <cfRule type="colorScale" priority="13">
      <colorScale>
        <cfvo type="formula" val="$H$17&lt;0"/>
        <cfvo type="formula" val="$H$17=0"/>
        <cfvo type="formula" val="$H$17&gt;0"/>
        <color rgb="FFF8696B"/>
        <color rgb="FFFFEB84"/>
        <color rgb="FF63BE7B"/>
      </colorScale>
    </cfRule>
    <cfRule type="colorScale" priority="14">
      <colorScale>
        <cfvo type="num" val="$H$17&lt;0"/>
        <cfvo type="num" val="0"/>
        <cfvo type="num" val="0"/>
        <color rgb="FFF8696B"/>
        <color rgb="FFFFEB84"/>
        <color rgb="FF63BE7B"/>
      </colorScale>
    </cfRule>
    <cfRule type="colorScale" priority="15">
      <colorScale>
        <cfvo type="num" val="&quot;&lt;0&quot;"/>
        <cfvo type="num" val="&quot;&lt;=300&quot;"/>
        <cfvo type="num" val="&quot;&gt;300&quot;"/>
        <color rgb="FFF8696B"/>
        <color rgb="FFFFEB84"/>
        <color rgb="FF63BE7B"/>
      </colorScale>
    </cfRule>
    <cfRule type="colorScale" priority="1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20">
    <cfRule type="expression" priority="7" dxfId="6">
      <formula>"0&lt;=$B$5-$B$20&lt;100"</formula>
    </cfRule>
    <cfRule type="expression" priority="8" dxfId="7">
      <formula>$B$20&gt;$B$5</formula>
    </cfRule>
  </conditionalFormatting>
  <conditionalFormatting sqref="D20:G20">
    <cfRule type="expression" priority="2" dxfId="8">
      <formula>$H$20&gt;=$D$8</formula>
    </cfRule>
    <cfRule type="expression" priority="5" dxfId="9">
      <formula>$H$20&gt;0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meshkov199@gmail.com</dc:creator>
  <cp:lastModifiedBy>meshkov199@gmail.com</cp:lastModifiedBy>
  <dcterms:created xsi:type="dcterms:W3CDTF">2025-08-01T20:40:34Z</dcterms:created>
  <dcterms:modified xsi:type="dcterms:W3CDTF">2025-08-03T08:44:01Z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713cb491341a479494cfc2ff2bcfce93</vt:lpwstr>
  </property>
</Properties>
</file>